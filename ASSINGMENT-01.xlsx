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man\Desktop\DATA SCIENCE ESSENTIALS\"/>
    </mc:Choice>
  </mc:AlternateContent>
  <bookViews>
    <workbookView xWindow="0" yWindow="0" windowWidth="19200" windowHeight="7050"/>
  </bookViews>
  <sheets>
    <sheet name="VLOOKUP &amp; HLOOKUP" sheetId="1" r:id="rId1"/>
    <sheet name=" NESTED VLOOKUP &amp; HLOOKU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2" l="1"/>
  <c r="M12" i="2"/>
  <c r="M11" i="2"/>
  <c r="H13" i="2"/>
  <c r="H12" i="2"/>
  <c r="H11" i="2"/>
  <c r="D13" i="2"/>
  <c r="D12" i="2"/>
  <c r="D11" i="2"/>
  <c r="J33" i="1"/>
  <c r="K33" i="1"/>
  <c r="I33" i="1"/>
  <c r="J28" i="1"/>
  <c r="K28" i="1"/>
  <c r="I28" i="1"/>
  <c r="J23" i="1"/>
  <c r="K23" i="1"/>
  <c r="I23" i="1"/>
  <c r="K12" i="1"/>
  <c r="K13" i="1"/>
  <c r="K11" i="1"/>
  <c r="H12" i="1"/>
  <c r="H13" i="1"/>
  <c r="H11" i="1"/>
  <c r="D12" i="1"/>
  <c r="D13" i="1"/>
  <c r="D11" i="1"/>
</calcChain>
</file>

<file path=xl/sharedStrings.xml><?xml version="1.0" encoding="utf-8"?>
<sst xmlns="http://schemas.openxmlformats.org/spreadsheetml/2006/main" count="179" uniqueCount="46">
  <si>
    <t>STUDENTS DETAILS</t>
  </si>
  <si>
    <t xml:space="preserve">NAME </t>
  </si>
  <si>
    <t xml:space="preserve">DEPARTMENT ID </t>
  </si>
  <si>
    <t xml:space="preserve">CLASS TEACHER </t>
  </si>
  <si>
    <t>Aman</t>
  </si>
  <si>
    <t>Rohit</t>
  </si>
  <si>
    <t>Suman</t>
  </si>
  <si>
    <t>ID-01</t>
  </si>
  <si>
    <t>ID-02</t>
  </si>
  <si>
    <t>ID-03</t>
  </si>
  <si>
    <t xml:space="preserve">Mr. Arun </t>
  </si>
  <si>
    <t>Mrs. Deepika</t>
  </si>
  <si>
    <t>Mr. Pawan</t>
  </si>
  <si>
    <t xml:space="preserve">HOD NAME </t>
  </si>
  <si>
    <t xml:space="preserve">Mr. Gulshan </t>
  </si>
  <si>
    <t xml:space="preserve">Mr.Manish </t>
  </si>
  <si>
    <t>Mr.jay</t>
  </si>
  <si>
    <t xml:space="preserve">HOD </t>
  </si>
  <si>
    <t xml:space="preserve">DEPARTMENT </t>
  </si>
  <si>
    <t>MAJOR SUBJECTS</t>
  </si>
  <si>
    <t>Data Science</t>
  </si>
  <si>
    <t xml:space="preserve">Animation </t>
  </si>
  <si>
    <t>ML</t>
  </si>
  <si>
    <t>VFX</t>
  </si>
  <si>
    <t>STATS</t>
  </si>
  <si>
    <t xml:space="preserve">MAJAR SUBJECTS </t>
  </si>
  <si>
    <t xml:space="preserve">CREDITS </t>
  </si>
  <si>
    <t>DURATION</t>
  </si>
  <si>
    <t xml:space="preserve">6 Months </t>
  </si>
  <si>
    <t>9 Months</t>
  </si>
  <si>
    <t xml:space="preserve">DEPARTMENT &amp; HOD </t>
  </si>
  <si>
    <t xml:space="preserve">DEPARTMENTS DETAILS </t>
  </si>
  <si>
    <t xml:space="preserve">SUBJECTS </t>
  </si>
  <si>
    <t>DEPARTMENT ID</t>
  </si>
  <si>
    <t>HOD NAME</t>
  </si>
  <si>
    <t>DEPARTMENT</t>
  </si>
  <si>
    <t xml:space="preserve">MAJOR SUBJECTS </t>
  </si>
  <si>
    <t>Animation</t>
  </si>
  <si>
    <t>STUDENT &amp; HOD NAME</t>
  </si>
  <si>
    <t xml:space="preserve">DEPARTMENT &amp; DURATION </t>
  </si>
  <si>
    <t xml:space="preserve">9 Months </t>
  </si>
  <si>
    <t xml:space="preserve"> </t>
  </si>
  <si>
    <t xml:space="preserve">DEPARTMENT ID &amp; MAJOR SUBJECTS </t>
  </si>
  <si>
    <t>VLOOKUP</t>
  </si>
  <si>
    <t>HLOOKUP</t>
  </si>
  <si>
    <t>NESTED VLOOKUP + 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</si>
</sst>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 val="double"/>
      <sz val="28"/>
      <color rgb="FFFF0000"/>
      <name val="Verdana"/>
      <family val="2"/>
    </font>
    <font>
      <b/>
      <i/>
      <sz val="10"/>
      <color rgb="FFFF0000"/>
      <name val="Verdana"/>
      <family val="2"/>
    </font>
    <font>
      <b/>
      <i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00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7" borderId="17" xfId="0" applyFill="1" applyBorder="1"/>
    <xf numFmtId="0" fontId="0" fillId="7" borderId="17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1" fillId="2" borderId="17" xfId="0" applyFont="1" applyFill="1" applyBorder="1" applyAlignment="1">
      <alignment horizontal="center"/>
    </xf>
    <xf numFmtId="0" fontId="2" fillId="3" borderId="17" xfId="1" applyBorder="1" applyAlignment="1">
      <alignment horizontal="left" vertical="center"/>
    </xf>
    <xf numFmtId="0" fontId="2" fillId="3" borderId="17" xfId="1" applyBorder="1" applyAlignment="1">
      <alignment horizontal="center" vertical="center"/>
    </xf>
    <xf numFmtId="0" fontId="2" fillId="4" borderId="17" xfId="2" applyBorder="1" applyAlignment="1">
      <alignment horizontal="left" vertical="center"/>
    </xf>
    <xf numFmtId="0" fontId="1" fillId="2" borderId="17" xfId="0" applyFont="1" applyFill="1" applyBorder="1" applyAlignment="1">
      <alignment horizontal="center" wrapText="1"/>
    </xf>
    <xf numFmtId="0" fontId="2" fillId="4" borderId="17" xfId="2" applyBorder="1" applyAlignment="1">
      <alignment horizontal="center" vertical="center"/>
    </xf>
  </cellXfs>
  <cellStyles count="3">
    <cellStyle name="20% - Accent2" xfId="1" builtinId="34"/>
    <cellStyle name="40% - Accent3" xfId="2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1"/>
  <sheetViews>
    <sheetView tabSelected="1" workbookViewId="0">
      <selection activeCell="B13" sqref="B13"/>
    </sheetView>
  </sheetViews>
  <sheetFormatPr defaultRowHeight="14.5" x14ac:dyDescent="0.35"/>
  <cols>
    <col min="3" max="3" width="16.36328125" bestFit="1" customWidth="1"/>
    <col min="4" max="4" width="15.1796875" bestFit="1" customWidth="1"/>
    <col min="5" max="5" width="14.36328125" bestFit="1" customWidth="1"/>
    <col min="6" max="6" width="11.26953125" bestFit="1" customWidth="1"/>
    <col min="7" max="7" width="16" bestFit="1" customWidth="1"/>
    <col min="8" max="10" width="11.54296875" bestFit="1" customWidth="1"/>
    <col min="11" max="11" width="12.90625" bestFit="1" customWidth="1"/>
    <col min="12" max="12" width="15.26953125" bestFit="1" customWidth="1"/>
    <col min="14" max="14" width="15.54296875" bestFit="1" customWidth="1"/>
    <col min="15" max="15" width="12.36328125" bestFit="1" customWidth="1"/>
    <col min="16" max="16" width="9.81640625" bestFit="1" customWidth="1"/>
  </cols>
  <sheetData>
    <row r="1" spans="2:17" ht="15" thickBot="1" x14ac:dyDescent="0.4"/>
    <row r="2" spans="2:17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x14ac:dyDescent="0.35">
      <c r="B3" s="4"/>
      <c r="C3" s="29" t="s">
        <v>0</v>
      </c>
      <c r="D3" s="29"/>
      <c r="E3" s="29"/>
      <c r="F3" s="5"/>
      <c r="G3" s="29" t="s">
        <v>30</v>
      </c>
      <c r="H3" s="29"/>
      <c r="I3" s="5"/>
      <c r="J3" s="29" t="s">
        <v>31</v>
      </c>
      <c r="K3" s="29"/>
      <c r="L3" s="29"/>
      <c r="M3" s="5"/>
      <c r="N3" s="29" t="s">
        <v>32</v>
      </c>
      <c r="O3" s="29"/>
      <c r="P3" s="29"/>
      <c r="Q3" s="6"/>
    </row>
    <row r="4" spans="2:17" x14ac:dyDescent="0.35">
      <c r="B4" s="4"/>
      <c r="C4" s="34" t="s">
        <v>1</v>
      </c>
      <c r="D4" s="34" t="s">
        <v>2</v>
      </c>
      <c r="E4" s="34" t="s">
        <v>3</v>
      </c>
      <c r="F4" s="5"/>
      <c r="G4" s="34" t="s">
        <v>2</v>
      </c>
      <c r="H4" s="34" t="s">
        <v>13</v>
      </c>
      <c r="I4" s="5"/>
      <c r="J4" s="34" t="s">
        <v>17</v>
      </c>
      <c r="K4" s="34" t="s">
        <v>18</v>
      </c>
      <c r="L4" s="34" t="s">
        <v>19</v>
      </c>
      <c r="M4" s="5"/>
      <c r="N4" s="34" t="s">
        <v>25</v>
      </c>
      <c r="O4" s="34" t="s">
        <v>26</v>
      </c>
      <c r="P4" s="34" t="s">
        <v>27</v>
      </c>
      <c r="Q4" s="6"/>
    </row>
    <row r="5" spans="2:17" x14ac:dyDescent="0.35">
      <c r="B5" s="4"/>
      <c r="C5" s="30" t="s">
        <v>4</v>
      </c>
      <c r="D5" s="30" t="s">
        <v>7</v>
      </c>
      <c r="E5" s="30" t="s">
        <v>10</v>
      </c>
      <c r="F5" s="5"/>
      <c r="G5" s="31" t="s">
        <v>7</v>
      </c>
      <c r="H5" s="30" t="s">
        <v>14</v>
      </c>
      <c r="I5" s="5"/>
      <c r="J5" s="30" t="s">
        <v>14</v>
      </c>
      <c r="K5" s="30" t="s">
        <v>20</v>
      </c>
      <c r="L5" s="31" t="s">
        <v>22</v>
      </c>
      <c r="M5" s="5"/>
      <c r="N5" s="31" t="s">
        <v>22</v>
      </c>
      <c r="O5" s="30">
        <v>90</v>
      </c>
      <c r="P5" s="30" t="s">
        <v>28</v>
      </c>
      <c r="Q5" s="6"/>
    </row>
    <row r="6" spans="2:17" x14ac:dyDescent="0.35">
      <c r="B6" s="4"/>
      <c r="C6" s="30" t="s">
        <v>5</v>
      </c>
      <c r="D6" s="30" t="s">
        <v>8</v>
      </c>
      <c r="E6" s="30" t="s">
        <v>11</v>
      </c>
      <c r="F6" s="5"/>
      <c r="G6" s="31" t="s">
        <v>8</v>
      </c>
      <c r="H6" s="30" t="s">
        <v>15</v>
      </c>
      <c r="I6" s="5"/>
      <c r="J6" s="30" t="s">
        <v>15</v>
      </c>
      <c r="K6" s="30" t="s">
        <v>21</v>
      </c>
      <c r="L6" s="31" t="s">
        <v>23</v>
      </c>
      <c r="M6" s="5"/>
      <c r="N6" s="31" t="s">
        <v>23</v>
      </c>
      <c r="O6" s="30">
        <v>50</v>
      </c>
      <c r="P6" s="30" t="s">
        <v>29</v>
      </c>
      <c r="Q6" s="6"/>
    </row>
    <row r="7" spans="2:17" x14ac:dyDescent="0.35">
      <c r="B7" s="4"/>
      <c r="C7" s="30" t="s">
        <v>6</v>
      </c>
      <c r="D7" s="30" t="s">
        <v>9</v>
      </c>
      <c r="E7" s="30" t="s">
        <v>12</v>
      </c>
      <c r="F7" s="5"/>
      <c r="G7" s="31" t="s">
        <v>9</v>
      </c>
      <c r="H7" s="30" t="s">
        <v>16</v>
      </c>
      <c r="I7" s="5"/>
      <c r="J7" s="30" t="s">
        <v>16</v>
      </c>
      <c r="K7" s="30" t="s">
        <v>20</v>
      </c>
      <c r="L7" s="31" t="s">
        <v>24</v>
      </c>
      <c r="M7" s="5"/>
      <c r="N7" s="31" t="s">
        <v>24</v>
      </c>
      <c r="O7" s="30">
        <v>80</v>
      </c>
      <c r="P7" s="30" t="s">
        <v>28</v>
      </c>
      <c r="Q7" s="6"/>
    </row>
    <row r="8" spans="2:17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</row>
    <row r="9" spans="2:17" ht="15" thickBot="1" x14ac:dyDescent="0.4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/>
    </row>
    <row r="10" spans="2:17" ht="14.5" customHeight="1" x14ac:dyDescent="0.35">
      <c r="B10" s="4"/>
      <c r="C10" s="29" t="s">
        <v>38</v>
      </c>
      <c r="D10" s="29"/>
      <c r="E10" s="5"/>
      <c r="F10" s="5"/>
      <c r="G10" s="32" t="s">
        <v>42</v>
      </c>
      <c r="H10" s="32" t="s">
        <v>27</v>
      </c>
      <c r="I10" s="5"/>
      <c r="J10" s="29" t="s">
        <v>39</v>
      </c>
      <c r="K10" s="29" t="s">
        <v>27</v>
      </c>
      <c r="L10" s="5"/>
      <c r="M10" s="5"/>
      <c r="N10" s="10" t="s">
        <v>43</v>
      </c>
      <c r="O10" s="11"/>
      <c r="P10" s="12"/>
      <c r="Q10" s="6"/>
    </row>
    <row r="11" spans="2:17" x14ac:dyDescent="0.35">
      <c r="B11" s="4"/>
      <c r="C11" s="30" t="s">
        <v>4</v>
      </c>
      <c r="D11" s="30" t="str">
        <f>VLOOKUP(VLOOKUP(C11,C5:E7,2,0),G5:H7,2,0)</f>
        <v xml:space="preserve">Mr. Gulshan </v>
      </c>
      <c r="E11" s="5"/>
      <c r="F11" s="5"/>
      <c r="G11" s="31" t="s">
        <v>7</v>
      </c>
      <c r="H11" s="31" t="str">
        <f>VLOOKUP(VLOOKUP(G11,G5:H7,2,0),J5:L7,3,0)</f>
        <v>ML</v>
      </c>
      <c r="I11" s="5"/>
      <c r="J11" s="30" t="s">
        <v>20</v>
      </c>
      <c r="K11" s="30" t="str">
        <f>VLOOKUP(VLOOKUP(J11,K5:L7,2,0),N5:P7,3,0)</f>
        <v xml:space="preserve">6 Months </v>
      </c>
      <c r="L11" s="5"/>
      <c r="M11" s="5"/>
      <c r="N11" s="13"/>
      <c r="O11" s="14"/>
      <c r="P11" s="15"/>
      <c r="Q11" s="6"/>
    </row>
    <row r="12" spans="2:17" ht="15" thickBot="1" x14ac:dyDescent="0.4">
      <c r="B12" s="4"/>
      <c r="C12" s="30" t="s">
        <v>5</v>
      </c>
      <c r="D12" s="30" t="str">
        <f t="shared" ref="D12:D13" si="0">VLOOKUP(VLOOKUP(C12,C6:E8,2,0),G6:H8,2,0)</f>
        <v xml:space="preserve">Mr.Manish </v>
      </c>
      <c r="E12" s="5"/>
      <c r="F12" s="5"/>
      <c r="G12" s="31" t="s">
        <v>8</v>
      </c>
      <c r="H12" s="31" t="str">
        <f>VLOOKUP(VLOOKUP(G12,G6:H8,2,0),J6:L8,3,0)</f>
        <v>VFX</v>
      </c>
      <c r="I12" s="5"/>
      <c r="J12" s="30" t="s">
        <v>21</v>
      </c>
      <c r="K12" s="30" t="str">
        <f>VLOOKUP(VLOOKUP(J12,K6:L8,2,0),N6:P8,3,0)</f>
        <v>9 Months</v>
      </c>
      <c r="L12" s="5"/>
      <c r="M12" s="5"/>
      <c r="N12" s="16"/>
      <c r="O12" s="17"/>
      <c r="P12" s="18"/>
      <c r="Q12" s="6"/>
    </row>
    <row r="13" spans="2:17" x14ac:dyDescent="0.35">
      <c r="B13" s="4"/>
      <c r="C13" s="30" t="s">
        <v>6</v>
      </c>
      <c r="D13" s="30" t="str">
        <f t="shared" si="0"/>
        <v>Mr.jay</v>
      </c>
      <c r="E13" s="5"/>
      <c r="F13" s="5"/>
      <c r="G13" s="31" t="s">
        <v>9</v>
      </c>
      <c r="H13" s="31" t="str">
        <f>VLOOKUP(VLOOKUP(G13,G7:H9,2,0),J7:L9,3,0)</f>
        <v>STATS</v>
      </c>
      <c r="I13" s="5"/>
      <c r="J13" s="30" t="s">
        <v>20</v>
      </c>
      <c r="K13" s="30" t="str">
        <f>VLOOKUP(VLOOKUP(J13,K7:L9,2,0),N7:P9,3,0)</f>
        <v xml:space="preserve">6 Months </v>
      </c>
      <c r="L13" s="5"/>
      <c r="M13" s="5"/>
      <c r="N13" s="5"/>
      <c r="O13" s="5"/>
      <c r="P13" s="5"/>
      <c r="Q13" s="6"/>
    </row>
    <row r="14" spans="2:17" ht="15" thickBot="1" x14ac:dyDescent="0.4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</row>
    <row r="18" spans="2:12" ht="15" thickBot="1" x14ac:dyDescent="0.4"/>
    <row r="19" spans="2:12" x14ac:dyDescent="0.35">
      <c r="B19" s="1"/>
      <c r="C19" s="2"/>
      <c r="D19" s="2"/>
      <c r="E19" s="2"/>
      <c r="F19" s="2"/>
      <c r="G19" s="2"/>
      <c r="H19" s="2"/>
      <c r="I19" s="2"/>
      <c r="J19" s="2"/>
      <c r="K19" s="2"/>
      <c r="L19" s="3"/>
    </row>
    <row r="20" spans="2:12" x14ac:dyDescent="0.35">
      <c r="B20" s="4"/>
      <c r="C20" s="29" t="s">
        <v>0</v>
      </c>
      <c r="D20" s="29"/>
      <c r="E20" s="29"/>
      <c r="F20" s="29"/>
      <c r="G20" s="5"/>
      <c r="H20" s="5"/>
      <c r="I20" s="5"/>
      <c r="J20" s="5"/>
      <c r="K20" s="5"/>
      <c r="L20" s="6"/>
    </row>
    <row r="21" spans="2:12" x14ac:dyDescent="0.35">
      <c r="B21" s="4"/>
      <c r="C21" s="35" t="s">
        <v>1</v>
      </c>
      <c r="D21" s="33" t="s">
        <v>4</v>
      </c>
      <c r="E21" s="33" t="s">
        <v>5</v>
      </c>
      <c r="F21" s="33" t="s">
        <v>6</v>
      </c>
      <c r="G21" s="5"/>
      <c r="H21" s="5"/>
      <c r="I21" s="29" t="s">
        <v>38</v>
      </c>
      <c r="J21" s="29"/>
      <c r="K21" s="29"/>
      <c r="L21" s="6"/>
    </row>
    <row r="22" spans="2:12" x14ac:dyDescent="0.35">
      <c r="B22" s="4"/>
      <c r="C22" s="35" t="s">
        <v>33</v>
      </c>
      <c r="D22" s="33" t="s">
        <v>7</v>
      </c>
      <c r="E22" s="33" t="s">
        <v>8</v>
      </c>
      <c r="F22" s="33" t="s">
        <v>9</v>
      </c>
      <c r="G22" s="5"/>
      <c r="H22" s="5"/>
      <c r="I22" s="31" t="s">
        <v>4</v>
      </c>
      <c r="J22" s="31" t="s">
        <v>5</v>
      </c>
      <c r="K22" s="31" t="s">
        <v>6</v>
      </c>
      <c r="L22" s="6"/>
    </row>
    <row r="23" spans="2:12" x14ac:dyDescent="0.35">
      <c r="B23" s="4"/>
      <c r="C23" s="35" t="s">
        <v>3</v>
      </c>
      <c r="D23" s="33" t="s">
        <v>10</v>
      </c>
      <c r="E23" s="33" t="s">
        <v>11</v>
      </c>
      <c r="F23" s="33" t="s">
        <v>12</v>
      </c>
      <c r="G23" s="5"/>
      <c r="H23" s="5"/>
      <c r="I23" s="31" t="str">
        <f>HLOOKUP(HLOOKUP(I22,D21:F23,2,0),D27:F28,2,0)</f>
        <v xml:space="preserve">Mr. Gulshan </v>
      </c>
      <c r="J23" s="31" t="str">
        <f t="shared" ref="J23:K23" si="1">HLOOKUP(HLOOKUP(J22,E21:G23,2,0),E27:G28,2,0)</f>
        <v xml:space="preserve">Mr.Manish </v>
      </c>
      <c r="K23" s="31" t="str">
        <f t="shared" si="1"/>
        <v>Mr.jay</v>
      </c>
      <c r="L23" s="6"/>
    </row>
    <row r="24" spans="2:12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6"/>
    </row>
    <row r="25" spans="2:12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6"/>
    </row>
    <row r="26" spans="2:12" x14ac:dyDescent="0.35">
      <c r="B26" s="4"/>
      <c r="C26" s="29" t="s">
        <v>30</v>
      </c>
      <c r="D26" s="29"/>
      <c r="E26" s="29"/>
      <c r="F26" s="29"/>
      <c r="G26" s="5"/>
      <c r="H26" s="5"/>
      <c r="I26" s="29" t="s">
        <v>42</v>
      </c>
      <c r="J26" s="29"/>
      <c r="K26" s="29"/>
      <c r="L26" s="6"/>
    </row>
    <row r="27" spans="2:12" x14ac:dyDescent="0.35">
      <c r="B27" s="4"/>
      <c r="C27" s="35" t="s">
        <v>2</v>
      </c>
      <c r="D27" s="33" t="s">
        <v>7</v>
      </c>
      <c r="E27" s="33" t="s">
        <v>8</v>
      </c>
      <c r="F27" s="33" t="s">
        <v>9</v>
      </c>
      <c r="G27" s="5"/>
      <c r="H27" s="5"/>
      <c r="I27" s="31" t="s">
        <v>7</v>
      </c>
      <c r="J27" s="31" t="s">
        <v>8</v>
      </c>
      <c r="K27" s="31" t="s">
        <v>9</v>
      </c>
      <c r="L27" s="6"/>
    </row>
    <row r="28" spans="2:12" x14ac:dyDescent="0.35">
      <c r="B28" s="4"/>
      <c r="C28" s="35" t="s">
        <v>34</v>
      </c>
      <c r="D28" s="33" t="s">
        <v>14</v>
      </c>
      <c r="E28" s="33" t="s">
        <v>15</v>
      </c>
      <c r="F28" s="33" t="s">
        <v>16</v>
      </c>
      <c r="G28" s="5"/>
      <c r="H28" s="5"/>
      <c r="I28" s="31" t="str">
        <f>HLOOKUP(HLOOKUP(I27,D27:F28,2,0),D32:F34,3,0)</f>
        <v>ML</v>
      </c>
      <c r="J28" s="31" t="str">
        <f t="shared" ref="J28:K28" si="2">HLOOKUP(HLOOKUP(J27,E27:G28,2,0),E32:G34,3,0)</f>
        <v>VFX</v>
      </c>
      <c r="K28" s="31" t="str">
        <f t="shared" si="2"/>
        <v>STATS</v>
      </c>
      <c r="L28" s="6"/>
    </row>
    <row r="29" spans="2:12" x14ac:dyDescent="0.35">
      <c r="B29" s="4"/>
      <c r="C29" s="5"/>
      <c r="D29" s="5"/>
      <c r="E29" s="5"/>
      <c r="F29" s="5"/>
      <c r="G29" s="5"/>
      <c r="H29" s="5"/>
      <c r="I29" s="5"/>
      <c r="J29" s="5"/>
      <c r="K29" s="5"/>
      <c r="L29" s="6"/>
    </row>
    <row r="30" spans="2:12" x14ac:dyDescent="0.35">
      <c r="B30" s="4"/>
      <c r="C30" s="5"/>
      <c r="D30" s="5"/>
      <c r="E30" s="5"/>
      <c r="F30" s="5"/>
      <c r="G30" s="5"/>
      <c r="H30" s="5"/>
      <c r="I30" s="5"/>
      <c r="J30" s="5"/>
      <c r="K30" s="5"/>
      <c r="L30" s="6"/>
    </row>
    <row r="31" spans="2:12" x14ac:dyDescent="0.35">
      <c r="B31" s="4"/>
      <c r="C31" s="29" t="s">
        <v>31</v>
      </c>
      <c r="D31" s="29"/>
      <c r="E31" s="29"/>
      <c r="F31" s="29"/>
      <c r="G31" s="5"/>
      <c r="H31" s="5"/>
      <c r="I31" s="29" t="s">
        <v>39</v>
      </c>
      <c r="J31" s="29"/>
      <c r="K31" s="29"/>
      <c r="L31" s="6"/>
    </row>
    <row r="32" spans="2:12" x14ac:dyDescent="0.35">
      <c r="B32" s="4"/>
      <c r="C32" s="35" t="s">
        <v>17</v>
      </c>
      <c r="D32" s="33" t="s">
        <v>14</v>
      </c>
      <c r="E32" s="33" t="s">
        <v>15</v>
      </c>
      <c r="F32" s="33" t="s">
        <v>16</v>
      </c>
      <c r="G32" s="5"/>
      <c r="H32" s="5"/>
      <c r="I32" s="31" t="s">
        <v>20</v>
      </c>
      <c r="J32" s="31" t="s">
        <v>37</v>
      </c>
      <c r="K32" s="31" t="s">
        <v>20</v>
      </c>
      <c r="L32" s="6"/>
    </row>
    <row r="33" spans="2:12" x14ac:dyDescent="0.35">
      <c r="B33" s="4"/>
      <c r="C33" s="35" t="s">
        <v>35</v>
      </c>
      <c r="D33" s="33" t="s">
        <v>20</v>
      </c>
      <c r="E33" s="33" t="s">
        <v>37</v>
      </c>
      <c r="F33" s="33" t="s">
        <v>20</v>
      </c>
      <c r="G33" s="5"/>
      <c r="H33" s="5"/>
      <c r="I33" s="31" t="str">
        <f>HLOOKUP(HLOOKUP(I32,D33:F34,2,0),D38:F40,3,0)</f>
        <v xml:space="preserve">6 Months </v>
      </c>
      <c r="J33" s="31" t="str">
        <f t="shared" ref="J33:K33" si="3">HLOOKUP(HLOOKUP(J32,E33:G34,2,0),E38:G40,3,0)</f>
        <v xml:space="preserve">9 Months </v>
      </c>
      <c r="K33" s="31" t="str">
        <f t="shared" si="3"/>
        <v xml:space="preserve">6 Months </v>
      </c>
      <c r="L33" s="6"/>
    </row>
    <row r="34" spans="2:12" x14ac:dyDescent="0.35">
      <c r="B34" s="4"/>
      <c r="C34" s="35" t="s">
        <v>36</v>
      </c>
      <c r="D34" s="33" t="s">
        <v>22</v>
      </c>
      <c r="E34" s="33" t="s">
        <v>23</v>
      </c>
      <c r="F34" s="33" t="s">
        <v>24</v>
      </c>
      <c r="G34" s="5"/>
      <c r="H34" s="5"/>
      <c r="I34" s="5"/>
      <c r="J34" s="5"/>
      <c r="K34" s="5"/>
      <c r="L34" s="6"/>
    </row>
    <row r="35" spans="2:12" x14ac:dyDescent="0.35">
      <c r="B35" s="4"/>
      <c r="C35" s="5"/>
      <c r="D35" s="5"/>
      <c r="E35" s="5"/>
      <c r="F35" s="5"/>
      <c r="G35" s="5"/>
      <c r="H35" s="5"/>
      <c r="I35" s="5"/>
      <c r="J35" s="5"/>
      <c r="K35" s="5"/>
      <c r="L35" s="6"/>
    </row>
    <row r="36" spans="2:12" x14ac:dyDescent="0.35">
      <c r="B36" s="4"/>
      <c r="C36" s="5"/>
      <c r="D36" s="5"/>
      <c r="E36" s="5"/>
      <c r="F36" s="5"/>
      <c r="G36" s="5"/>
      <c r="H36" s="5"/>
      <c r="I36" s="5"/>
      <c r="J36" s="5"/>
      <c r="K36" s="5"/>
      <c r="L36" s="6"/>
    </row>
    <row r="37" spans="2:12" x14ac:dyDescent="0.35">
      <c r="B37" s="4"/>
      <c r="C37" s="29" t="s">
        <v>32</v>
      </c>
      <c r="D37" s="29"/>
      <c r="E37" s="29"/>
      <c r="F37" s="29"/>
      <c r="G37" s="5" t="s">
        <v>41</v>
      </c>
      <c r="H37" s="5"/>
      <c r="I37" s="5"/>
      <c r="J37" s="5"/>
      <c r="K37" s="5"/>
      <c r="L37" s="6"/>
    </row>
    <row r="38" spans="2:12" x14ac:dyDescent="0.35">
      <c r="B38" s="4"/>
      <c r="C38" s="35" t="s">
        <v>36</v>
      </c>
      <c r="D38" s="33" t="s">
        <v>22</v>
      </c>
      <c r="E38" s="33" t="s">
        <v>23</v>
      </c>
      <c r="F38" s="33" t="s">
        <v>24</v>
      </c>
      <c r="G38" s="5"/>
      <c r="H38" s="5"/>
      <c r="I38" s="28" t="s">
        <v>44</v>
      </c>
      <c r="J38" s="28"/>
      <c r="K38" s="28"/>
      <c r="L38" s="6"/>
    </row>
    <row r="39" spans="2:12" x14ac:dyDescent="0.35">
      <c r="B39" s="4"/>
      <c r="C39" s="35" t="s">
        <v>26</v>
      </c>
      <c r="D39" s="33">
        <v>90</v>
      </c>
      <c r="E39" s="33">
        <v>50</v>
      </c>
      <c r="F39" s="33">
        <v>80</v>
      </c>
      <c r="G39" s="5"/>
      <c r="H39" s="5"/>
      <c r="I39" s="28"/>
      <c r="J39" s="28"/>
      <c r="K39" s="28"/>
      <c r="L39" s="6"/>
    </row>
    <row r="40" spans="2:12" x14ac:dyDescent="0.35">
      <c r="B40" s="4"/>
      <c r="C40" s="35" t="s">
        <v>27</v>
      </c>
      <c r="D40" s="33" t="s">
        <v>28</v>
      </c>
      <c r="E40" s="33" t="s">
        <v>40</v>
      </c>
      <c r="F40" s="33" t="s">
        <v>28</v>
      </c>
      <c r="G40" s="5"/>
      <c r="H40" s="5"/>
      <c r="I40" s="28"/>
      <c r="J40" s="28"/>
      <c r="K40" s="28"/>
      <c r="L40" s="6"/>
    </row>
    <row r="41" spans="2:12" ht="15" thickBot="1" x14ac:dyDescent="0.4">
      <c r="B41" s="7"/>
      <c r="C41" s="8"/>
      <c r="D41" s="8"/>
      <c r="E41" s="8"/>
      <c r="F41" s="8"/>
      <c r="G41" s="8"/>
      <c r="H41" s="8"/>
      <c r="I41" s="8"/>
      <c r="J41" s="8"/>
      <c r="K41" s="8"/>
      <c r="L41" s="9"/>
    </row>
  </sheetData>
  <mergeCells count="16">
    <mergeCell ref="N3:P3"/>
    <mergeCell ref="C20:F20"/>
    <mergeCell ref="N10:P12"/>
    <mergeCell ref="I38:K40"/>
    <mergeCell ref="C37:F37"/>
    <mergeCell ref="I21:K21"/>
    <mergeCell ref="I26:K26"/>
    <mergeCell ref="I31:K31"/>
    <mergeCell ref="C3:E3"/>
    <mergeCell ref="G3:H3"/>
    <mergeCell ref="J3:L3"/>
    <mergeCell ref="C26:F26"/>
    <mergeCell ref="C31:F31"/>
    <mergeCell ref="C10:D10"/>
    <mergeCell ref="G10:H10"/>
    <mergeCell ref="J10:K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4"/>
  <sheetViews>
    <sheetView workbookViewId="0">
      <selection activeCell="A6" sqref="A6"/>
    </sheetView>
  </sheetViews>
  <sheetFormatPr defaultRowHeight="14.5" x14ac:dyDescent="0.35"/>
  <cols>
    <col min="3" max="3" width="6.54296875" bestFit="1" customWidth="1"/>
    <col min="4" max="4" width="15.1796875" bestFit="1" customWidth="1"/>
    <col min="5" max="5" width="14.36328125" bestFit="1" customWidth="1"/>
    <col min="7" max="7" width="15.1796875" bestFit="1" customWidth="1"/>
    <col min="8" max="8" width="11.54296875" bestFit="1" customWidth="1"/>
    <col min="9" max="9" width="10.453125" bestFit="1" customWidth="1"/>
    <col min="10" max="10" width="9.6328125" customWidth="1"/>
    <col min="12" max="12" width="11.54296875" bestFit="1" customWidth="1"/>
    <col min="13" max="13" width="12.90625" bestFit="1" customWidth="1"/>
    <col min="14" max="14" width="15.26953125" bestFit="1" customWidth="1"/>
    <col min="16" max="16" width="15.7265625" bestFit="1" customWidth="1"/>
    <col min="17" max="19" width="9.1796875" bestFit="1" customWidth="1"/>
  </cols>
  <sheetData>
    <row r="1" spans="2:20" ht="15" thickBot="1" x14ac:dyDescent="0.4"/>
    <row r="2" spans="2:20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2:20" x14ac:dyDescent="0.35">
      <c r="B3" s="4"/>
      <c r="C3" s="36" t="s">
        <v>0</v>
      </c>
      <c r="D3" s="36"/>
      <c r="E3" s="36"/>
      <c r="F3" s="5"/>
      <c r="G3" s="36" t="s">
        <v>30</v>
      </c>
      <c r="H3" s="36"/>
      <c r="I3" s="36"/>
      <c r="J3" s="36"/>
      <c r="K3" s="5"/>
      <c r="L3" s="36" t="s">
        <v>31</v>
      </c>
      <c r="M3" s="36"/>
      <c r="N3" s="36"/>
      <c r="O3" s="5"/>
      <c r="P3" s="36" t="s">
        <v>32</v>
      </c>
      <c r="Q3" s="36"/>
      <c r="R3" s="36"/>
      <c r="S3" s="36"/>
      <c r="T3" s="6"/>
    </row>
    <row r="4" spans="2:20" x14ac:dyDescent="0.35">
      <c r="B4" s="4"/>
      <c r="C4" s="34" t="s">
        <v>1</v>
      </c>
      <c r="D4" s="34" t="s">
        <v>2</v>
      </c>
      <c r="E4" s="34" t="s">
        <v>3</v>
      </c>
      <c r="F4" s="5"/>
      <c r="G4" s="34" t="s">
        <v>2</v>
      </c>
      <c r="H4" s="38" t="s">
        <v>7</v>
      </c>
      <c r="I4" s="38" t="s">
        <v>8</v>
      </c>
      <c r="J4" s="38" t="s">
        <v>9</v>
      </c>
      <c r="K4" s="5"/>
      <c r="L4" s="34" t="s">
        <v>17</v>
      </c>
      <c r="M4" s="34" t="s">
        <v>18</v>
      </c>
      <c r="N4" s="34" t="s">
        <v>19</v>
      </c>
      <c r="O4" s="5"/>
      <c r="P4" s="34" t="s">
        <v>36</v>
      </c>
      <c r="Q4" s="38" t="s">
        <v>22</v>
      </c>
      <c r="R4" s="38" t="s">
        <v>23</v>
      </c>
      <c r="S4" s="38" t="s">
        <v>24</v>
      </c>
      <c r="T4" s="6"/>
    </row>
    <row r="5" spans="2:20" x14ac:dyDescent="0.35">
      <c r="B5" s="4"/>
      <c r="C5" s="37" t="s">
        <v>4</v>
      </c>
      <c r="D5" s="38" t="s">
        <v>7</v>
      </c>
      <c r="E5" s="37" t="s">
        <v>10</v>
      </c>
      <c r="F5" s="5"/>
      <c r="G5" s="34" t="s">
        <v>34</v>
      </c>
      <c r="H5" s="38" t="s">
        <v>14</v>
      </c>
      <c r="I5" s="38" t="s">
        <v>15</v>
      </c>
      <c r="J5" s="38" t="s">
        <v>16</v>
      </c>
      <c r="K5" s="5"/>
      <c r="L5" s="37" t="s">
        <v>14</v>
      </c>
      <c r="M5" s="37" t="s">
        <v>20</v>
      </c>
      <c r="N5" s="38" t="s">
        <v>22</v>
      </c>
      <c r="O5" s="5"/>
      <c r="P5" s="34" t="s">
        <v>26</v>
      </c>
      <c r="Q5" s="38">
        <v>90</v>
      </c>
      <c r="R5" s="38">
        <v>50</v>
      </c>
      <c r="S5" s="38">
        <v>80</v>
      </c>
      <c r="T5" s="6"/>
    </row>
    <row r="6" spans="2:20" x14ac:dyDescent="0.35">
      <c r="B6" s="4"/>
      <c r="C6" s="37" t="s">
        <v>5</v>
      </c>
      <c r="D6" s="38" t="s">
        <v>8</v>
      </c>
      <c r="E6" s="37" t="s">
        <v>11</v>
      </c>
      <c r="F6" s="5"/>
      <c r="G6" s="5"/>
      <c r="H6" s="5"/>
      <c r="I6" s="5"/>
      <c r="J6" s="5"/>
      <c r="K6" s="5"/>
      <c r="L6" s="37" t="s">
        <v>15</v>
      </c>
      <c r="M6" s="37" t="s">
        <v>21</v>
      </c>
      <c r="N6" s="38" t="s">
        <v>23</v>
      </c>
      <c r="O6" s="5"/>
      <c r="P6" s="34" t="s">
        <v>27</v>
      </c>
      <c r="Q6" s="38" t="s">
        <v>28</v>
      </c>
      <c r="R6" s="38" t="s">
        <v>40</v>
      </c>
      <c r="S6" s="38" t="s">
        <v>28</v>
      </c>
      <c r="T6" s="6"/>
    </row>
    <row r="7" spans="2:20" x14ac:dyDescent="0.35">
      <c r="B7" s="4"/>
      <c r="C7" s="37" t="s">
        <v>6</v>
      </c>
      <c r="D7" s="38" t="s">
        <v>9</v>
      </c>
      <c r="E7" s="37" t="s">
        <v>12</v>
      </c>
      <c r="F7" s="5"/>
      <c r="G7" s="5"/>
      <c r="H7" s="5"/>
      <c r="I7" s="5"/>
      <c r="J7" s="5"/>
      <c r="K7" s="5"/>
      <c r="L7" s="37" t="s">
        <v>16</v>
      </c>
      <c r="M7" s="37" t="s">
        <v>20</v>
      </c>
      <c r="N7" s="38" t="s">
        <v>24</v>
      </c>
      <c r="O7" s="5"/>
      <c r="P7" s="5"/>
      <c r="Q7" s="5"/>
      <c r="R7" s="5"/>
      <c r="S7" s="5"/>
      <c r="T7" s="6"/>
    </row>
    <row r="8" spans="2:20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2:20" x14ac:dyDescent="0.3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2:20" ht="15.5" customHeight="1" x14ac:dyDescent="0.35">
      <c r="B10" s="4"/>
      <c r="C10" s="36" t="s">
        <v>38</v>
      </c>
      <c r="D10" s="36"/>
      <c r="E10" s="5"/>
      <c r="F10" s="5"/>
      <c r="G10" s="40" t="s">
        <v>42</v>
      </c>
      <c r="H10" s="40" t="s">
        <v>27</v>
      </c>
      <c r="I10" s="5"/>
      <c r="J10" s="5"/>
      <c r="K10" s="5"/>
      <c r="L10" s="29" t="s">
        <v>39</v>
      </c>
      <c r="M10" s="29" t="s">
        <v>27</v>
      </c>
      <c r="N10" s="5"/>
      <c r="O10" s="5"/>
      <c r="P10" s="19" t="s">
        <v>45</v>
      </c>
      <c r="Q10" s="20"/>
      <c r="R10" s="21"/>
      <c r="S10" s="5"/>
      <c r="T10" s="6"/>
    </row>
    <row r="11" spans="2:20" ht="15.5" customHeight="1" x14ac:dyDescent="0.35">
      <c r="B11" s="4"/>
      <c r="C11" s="39" t="s">
        <v>4</v>
      </c>
      <c r="D11" s="39" t="str">
        <f>HLOOKUP(VLOOKUP(C11,C5:E7,2,0),H4:J5,2,0)</f>
        <v xml:space="preserve">Mr. Gulshan </v>
      </c>
      <c r="E11" s="5"/>
      <c r="F11" s="5"/>
      <c r="G11" s="41" t="s">
        <v>7</v>
      </c>
      <c r="H11" s="41" t="str">
        <f>VLOOKUP(HLOOKUP(G11,H4:J5,2,0),L5:N7,3,0)</f>
        <v>ML</v>
      </c>
      <c r="I11" s="5"/>
      <c r="J11" s="5"/>
      <c r="K11" s="5"/>
      <c r="L11" s="39" t="s">
        <v>20</v>
      </c>
      <c r="M11" s="41" t="str">
        <f>HLOOKUP(VLOOKUP(L11,M5:N7,2,0),Q4:S6,3,0)</f>
        <v xml:space="preserve">6 Months </v>
      </c>
      <c r="N11" s="5"/>
      <c r="O11" s="5"/>
      <c r="P11" s="22"/>
      <c r="Q11" s="23"/>
      <c r="R11" s="24"/>
      <c r="S11" s="5"/>
      <c r="T11" s="6"/>
    </row>
    <row r="12" spans="2:20" ht="15.5" customHeight="1" x14ac:dyDescent="0.35">
      <c r="B12" s="4"/>
      <c r="C12" s="39" t="s">
        <v>5</v>
      </c>
      <c r="D12" s="39" t="str">
        <f>HLOOKUP(VLOOKUP(C12,C5:E7,2,0),H4:J5,2,0)</f>
        <v xml:space="preserve">Mr.Manish </v>
      </c>
      <c r="E12" s="5"/>
      <c r="F12" s="5"/>
      <c r="G12" s="41" t="s">
        <v>8</v>
      </c>
      <c r="H12" s="41" t="str">
        <f>VLOOKUP(HLOOKUP(G12,H4:J5,2,0),L5:N7,3,0)</f>
        <v>VFX</v>
      </c>
      <c r="I12" s="5"/>
      <c r="J12" s="5"/>
      <c r="K12" s="5"/>
      <c r="L12" s="39" t="s">
        <v>21</v>
      </c>
      <c r="M12" s="41" t="str">
        <f>HLOOKUP(VLOOKUP(L12,M5:N7,2,0),Q4:S6,3,0)</f>
        <v xml:space="preserve">9 Months </v>
      </c>
      <c r="N12" s="5"/>
      <c r="O12" s="5"/>
      <c r="P12" s="25"/>
      <c r="Q12" s="26"/>
      <c r="R12" s="27"/>
      <c r="S12" s="5"/>
      <c r="T12" s="6"/>
    </row>
    <row r="13" spans="2:20" x14ac:dyDescent="0.35">
      <c r="B13" s="4"/>
      <c r="C13" s="39" t="s">
        <v>6</v>
      </c>
      <c r="D13" s="39" t="str">
        <f>HLOOKUP(VLOOKUP(C13,C5:E7,2,0),H4:J5,2,0)</f>
        <v>Mr.jay</v>
      </c>
      <c r="E13" s="5"/>
      <c r="F13" s="5"/>
      <c r="G13" s="41" t="s">
        <v>9</v>
      </c>
      <c r="H13" s="41" t="str">
        <f>VLOOKUP(HLOOKUP(G13,H4:J5,2,0),L5:N7,3,0)</f>
        <v>STATS</v>
      </c>
      <c r="I13" s="5"/>
      <c r="J13" s="5"/>
      <c r="K13" s="5"/>
      <c r="L13" s="39" t="s">
        <v>20</v>
      </c>
      <c r="M13" s="41" t="str">
        <f>HLOOKUP(VLOOKUP(L13,M5:N7,2,0),Q4:S6,3,0)</f>
        <v xml:space="preserve">6 Months </v>
      </c>
      <c r="N13" s="5"/>
      <c r="O13" s="5"/>
      <c r="P13" s="5"/>
      <c r="Q13" s="5"/>
      <c r="R13" s="5"/>
      <c r="S13" s="5"/>
      <c r="T13" s="6"/>
    </row>
    <row r="14" spans="2:20" ht="15" thickBot="1" x14ac:dyDescent="0.4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</row>
  </sheetData>
  <mergeCells count="8">
    <mergeCell ref="C3:E3"/>
    <mergeCell ref="G3:J3"/>
    <mergeCell ref="L3:N3"/>
    <mergeCell ref="P3:S3"/>
    <mergeCell ref="C10:D10"/>
    <mergeCell ref="G10:H10"/>
    <mergeCell ref="L10:M10"/>
    <mergeCell ref="P10:R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 &amp; HLOOKUP</vt:lpstr>
      <vt:lpstr> NESTED VLOOKUP &amp; 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hemantsawant062@gmail.com</dc:creator>
  <cp:lastModifiedBy>hemantsawant062@gmail.com</cp:lastModifiedBy>
  <dcterms:created xsi:type="dcterms:W3CDTF">2026-04-20T18:45:22Z</dcterms:created>
  <dcterms:modified xsi:type="dcterms:W3CDTF">2026-04-21T09:25:25Z</dcterms:modified>
</cp:coreProperties>
</file>